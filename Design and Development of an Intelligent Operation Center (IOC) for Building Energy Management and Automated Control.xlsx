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ing" sheetId="1" r:id="rId4"/>
    <sheet state="visible" name="Project Description" sheetId="2" r:id="rId5"/>
  </sheets>
  <definedNames/>
  <calcPr/>
</workbook>
</file>

<file path=xl/sharedStrings.xml><?xml version="1.0" encoding="utf-8"?>
<sst xmlns="http://schemas.openxmlformats.org/spreadsheetml/2006/main" count="119" uniqueCount="68">
  <si>
    <t xml:space="preserve">PROJECT PLANNING AND TRACKING </t>
  </si>
  <si>
    <t>STATUS KEY</t>
  </si>
  <si>
    <t>PRIORITY KEY</t>
  </si>
  <si>
    <t>On Hold</t>
  </si>
  <si>
    <t>Low</t>
  </si>
  <si>
    <t>PROJECT TITLE</t>
  </si>
  <si>
    <t>Design and Development of an Intelligent Operation Center (IOC) for Building Energy Management and Automated Control</t>
  </si>
  <si>
    <t>Not Yet Started</t>
  </si>
  <si>
    <t>Medium</t>
  </si>
  <si>
    <t>Alexis MARTINI(18/05/2026 - 21/08/2026)</t>
  </si>
  <si>
    <t xml:space="preserve">Andy CLÉMENT(18/05/2026 - 21/08/2026)
</t>
  </si>
  <si>
    <t>In Progress</t>
  </si>
  <si>
    <t>High</t>
  </si>
  <si>
    <t>Supervisor: Van Lic TRAN</t>
  </si>
  <si>
    <t>Complete</t>
  </si>
  <si>
    <t>PROJECT DETAILS</t>
  </si>
  <si>
    <t>DELIVERABLES</t>
  </si>
  <si>
    <t>STATUS</t>
  </si>
  <si>
    <t>PRIORITY</t>
  </si>
  <si>
    <t>START DATE</t>
  </si>
  <si>
    <t>END DATE</t>
  </si>
  <si>
    <t>DURATION</t>
  </si>
  <si>
    <t>TASK NAME</t>
  </si>
  <si>
    <t>ASSIGNEE</t>
  </si>
  <si>
    <t>DESCRIPTION</t>
  </si>
  <si>
    <t>DELIVERABLE</t>
  </si>
  <si>
    <t>% DONE</t>
  </si>
  <si>
    <t>PHASE 1: IDEATION AND VALIDATING (~2-3 WEEKS)</t>
  </si>
  <si>
    <t>Task 1</t>
  </si>
  <si>
    <t>Alexis</t>
  </si>
  <si>
    <t xml:space="preserve">Summary of previous studies and method (Find the related paper on https://dblp.org and on the internet )
 Shared doc file </t>
  </si>
  <si>
    <t>Task 2</t>
  </si>
  <si>
    <t>Andy</t>
  </si>
  <si>
    <t xml:space="preserve">Comparison of their advantages and disadvantages to highlight the research gap and propose the method and design
</t>
  </si>
  <si>
    <t>Task 3</t>
  </si>
  <si>
    <t>Alexis + Andy</t>
  </si>
  <si>
    <t xml:space="preserve">Overall System Design in graph
</t>
  </si>
  <si>
    <r>
      <rPr>
        <rFont val="Roboto"/>
        <color rgb="FF45818E"/>
        <sz val="10.0"/>
      </rPr>
      <t xml:space="preserve">Update to </t>
    </r>
    <r>
      <rPr>
        <rFont val="Roboto"/>
        <color rgb="FF1155CC"/>
        <sz val="10.0"/>
        <u/>
      </rPr>
      <t>https://canva.link/cmdibg6ozf8udat</t>
    </r>
    <r>
      <rPr>
        <rFont val="Roboto"/>
        <color rgb="FF45818E"/>
        <sz val="10.0"/>
      </rPr>
      <t xml:space="preserve">
 </t>
    </r>
  </si>
  <si>
    <t>Task 4</t>
  </si>
  <si>
    <t xml:space="preserve">REPORT: Complete Section: RELATED WORK in the paper
</t>
  </si>
  <si>
    <r>
      <rPr>
        <rFont val="Roboto"/>
        <color rgb="FF45818E"/>
        <sz val="7.0"/>
      </rPr>
      <t>Update to</t>
    </r>
    <r>
      <rPr>
        <rFont val="Roboto"/>
        <color rgb="FF45818E"/>
        <sz val="10.0"/>
      </rPr>
      <t xml:space="preserve"> </t>
    </r>
    <r>
      <rPr>
        <rFont val="Roboto"/>
        <color rgb="FF1155CC"/>
        <sz val="10.0"/>
        <u/>
      </rPr>
      <t>https://www.overleaf.com/6564517495wfhgsshrtfbw#6a6866</t>
    </r>
    <r>
      <rPr>
        <rFont val="Roboto"/>
        <color rgb="FF45818E"/>
        <sz val="10.0"/>
      </rPr>
      <t xml:space="preserve"> </t>
    </r>
  </si>
  <si>
    <t>PHASE 2: PLANINING AND IMPLEMENTING (~5-6 WEEKS)</t>
  </si>
  <si>
    <t>Task</t>
  </si>
  <si>
    <t>Gino</t>
  </si>
  <si>
    <t>API and Data process</t>
  </si>
  <si>
    <t>Features engineering</t>
  </si>
  <si>
    <t>ML pipeline</t>
  </si>
  <si>
    <t>Finding the best parameters ML/features</t>
  </si>
  <si>
    <t>Ready to use location predictor program</t>
  </si>
  <si>
    <t>REPORT: Complete Methodology / Proposed Method
and Experimental Setup / Simulation in the paper</t>
  </si>
  <si>
    <r>
      <rPr>
        <rFont val="Roboto"/>
        <color rgb="FF45818E"/>
        <sz val="7.0"/>
      </rPr>
      <t>Update to</t>
    </r>
    <r>
      <rPr>
        <rFont val="Roboto"/>
        <color rgb="FF45818E"/>
        <sz val="10.0"/>
      </rPr>
      <t xml:space="preserve"> </t>
    </r>
    <r>
      <rPr>
        <rFont val="Roboto"/>
        <color rgb="FF1155CC"/>
        <sz val="10.0"/>
        <u/>
      </rPr>
      <t>https://www.overleaf.com/6564517495wfhgsshrtfbw#6a6866</t>
    </r>
    <r>
      <rPr>
        <rFont val="Roboto"/>
        <color rgb="FF45818E"/>
        <sz val="10.0"/>
      </rPr>
      <t xml:space="preserve"> </t>
    </r>
  </si>
  <si>
    <t>PHASE 3: RESULTS AND EVALUATION (~3-4 WEEKS)</t>
  </si>
  <si>
    <t xml:space="preserve">Experimental/simulation scenarios 
</t>
  </si>
  <si>
    <t xml:space="preserve">Evaluation metrics 
</t>
  </si>
  <si>
    <t xml:space="preserve">Comparison with existing methods 
</t>
  </si>
  <si>
    <t xml:space="preserve">REPORT: Complete Section: Results and discussion and Conclusion in the paper. Finalize the paper, prepare to submit
</t>
  </si>
  <si>
    <r>
      <rPr>
        <rFont val="Roboto"/>
        <color rgb="FF45818E"/>
        <sz val="7.0"/>
      </rPr>
      <t>Update to</t>
    </r>
    <r>
      <rPr>
        <rFont val="Roboto"/>
        <color rgb="FF45818E"/>
        <sz val="10.0"/>
      </rPr>
      <t xml:space="preserve"> </t>
    </r>
    <r>
      <rPr>
        <rFont val="Roboto"/>
        <color rgb="FF1155CC"/>
        <sz val="10.0"/>
        <u/>
      </rPr>
      <t>https://www.overleaf.com/6564517495wfhgsshrtfbw#6a6866</t>
    </r>
    <r>
      <rPr>
        <rFont val="Roboto"/>
        <color rgb="FF45818E"/>
        <sz val="10.0"/>
      </rPr>
      <t xml:space="preserve"> </t>
    </r>
  </si>
  <si>
    <t>PHASE 4: TRANSITION (~ 1 - 2  WEEKS)</t>
  </si>
  <si>
    <t>Packaging project</t>
  </si>
  <si>
    <t>Storing (source code) and write instruction, need to check the reproducibility</t>
  </si>
  <si>
    <t>Slide for the Final presenation</t>
  </si>
  <si>
    <t>Details of task here</t>
  </si>
  <si>
    <t>Project definition</t>
  </si>
  <si>
    <t>Project Goals:</t>
  </si>
  <si>
    <t>- Users can monitor the health status (e.g., cardiovascular activity, falls, stroke, heart attack,…) and behavior (e.g., emotions,…) of elderly individuals via a mobile phone, with a test accuracy of over 90%.</t>
  </si>
  <si>
    <t>-The system can operate and be tested with users in real-world conditions.</t>
  </si>
  <si>
    <t>Publication</t>
  </si>
  <si>
    <t>- Submit 01 paper IEEE Journal of Biomedical and Health Informatics.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</si>
</sst>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47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0B5394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8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8.0"/>
      <color rgb="FF0B5394"/>
      <name val="Roboto"/>
    </font>
    <font>
      <b/>
      <sz val="10.0"/>
      <color rgb="FF000000"/>
      <name val="Roboto"/>
    </font>
    <font>
      <b/>
      <sz val="10.0"/>
      <color rgb="FF0000FF"/>
      <name val="Roboto"/>
    </font>
    <font>
      <sz val="10.0"/>
      <color rgb="FF999999"/>
      <name val="Roboto"/>
    </font>
    <font>
      <b/>
      <sz val="10.0"/>
      <color rgb="FF666666"/>
      <name val="Roboto"/>
    </font>
    <font>
      <sz val="11.0"/>
      <name val="Roboto"/>
    </font>
    <font>
      <sz val="11.0"/>
      <color rgb="FF000000"/>
      <name val="Roboto"/>
    </font>
    <font>
      <color rgb="FF0B5394"/>
    </font>
    <font>
      <sz val="9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5394"/>
      <name val="Roboto"/>
    </font>
    <font>
      <b/>
      <sz val="9.0"/>
      <color rgb="FF45818E"/>
      <name val="Roboto"/>
    </font>
    <font>
      <sz val="9.0"/>
      <color rgb="FF434343"/>
      <name val="Roboto"/>
    </font>
    <font>
      <b/>
      <sz val="16.0"/>
      <color rgb="FF000000"/>
      <name val="Roboto"/>
    </font>
    <font>
      <b/>
      <sz val="16.0"/>
      <color rgb="FF434343"/>
      <name val="Roboto"/>
    </font>
    <font>
      <b/>
      <sz val="16.0"/>
      <color rgb="FF45818E"/>
      <name val="Roboto"/>
    </font>
    <font>
      <sz val="11.0"/>
      <color rgb="FF434343"/>
      <name val="Roboto"/>
    </font>
    <font>
      <sz val="10.0"/>
      <color rgb="FF0B5394"/>
      <name val="Roboto"/>
    </font>
    <font>
      <u/>
      <sz val="10.0"/>
      <color rgb="FF0B5394"/>
      <name val="Roboto"/>
    </font>
    <font>
      <sz val="10.0"/>
      <color rgb="FF45818E"/>
      <name val="Roboto"/>
    </font>
    <font>
      <b/>
      <sz val="11.0"/>
      <color rgb="FF434343"/>
      <name val="Roboto"/>
    </font>
    <font>
      <u/>
      <sz val="10.0"/>
      <color rgb="FF45818E"/>
      <name val="Roboto"/>
    </font>
    <font>
      <sz val="10.0"/>
      <color rgb="FFFF0000"/>
      <name val="Roboto"/>
    </font>
    <font>
      <b/>
      <sz val="11.0"/>
      <color rgb="FF0B5394"/>
      <name val="Roboto"/>
    </font>
    <font>
      <sz val="11.0"/>
      <color rgb="FF0B5394"/>
      <name val="Roboto"/>
    </font>
    <font>
      <sz val="50.0"/>
      <color rgb="FF0D0D0D"/>
      <name val="Arial"/>
    </font>
    <font>
      <b/>
      <sz val="22.0"/>
      <color rgb="FF0000FF"/>
      <name val="Arial"/>
    </font>
    <font>
      <color rgb="FF0000FF"/>
    </font>
    <font>
      <b/>
      <sz val="22.0"/>
      <color rgb="FF000000"/>
      <name val="&quot;Tw Cen MT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</fills>
  <borders count="5">
    <border/>
    <border>
      <bottom style="thick">
        <color rgb="FF0B5394"/>
      </bottom>
    </border>
    <border>
      <bottom style="hair">
        <color rgb="FF999999"/>
      </bottom>
    </border>
    <border>
      <bottom style="thin">
        <color rgb="FFD9D9D9"/>
      </bottom>
    </border>
    <border>
      <bottom style="medium">
        <color rgb="FF434343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3" fontId="6" numFmtId="0" xfId="0" applyAlignment="1" applyFill="1" applyFont="1">
      <alignment vertical="center"/>
    </xf>
    <xf borderId="1" fillId="2" fontId="7" numFmtId="0" xfId="0" applyAlignment="1" applyBorder="1" applyFont="1">
      <alignment horizontal="left"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ont="1">
      <alignment horizontal="left"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4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left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0" fillId="3" fontId="17" numFmtId="0" xfId="0" applyAlignment="1" applyFont="1">
      <alignment horizontal="center" readingOrder="0" shrinkToFit="0" vertical="center" wrapText="0"/>
    </xf>
    <xf borderId="2" fillId="3" fontId="17" numFmtId="0" xfId="0" applyAlignment="1" applyBorder="1" applyFont="1">
      <alignment horizontal="left" readingOrder="0" shrinkToFit="0" vertical="center" wrapText="0"/>
    </xf>
    <xf borderId="0" fillId="3" fontId="17" numFmtId="0" xfId="0" applyAlignment="1" applyFont="1">
      <alignment horizontal="left" readingOrder="0" shrinkToFit="0" vertical="center" wrapText="0"/>
    </xf>
    <xf borderId="3" fillId="0" fontId="18" numFmtId="0" xfId="0" applyAlignment="1" applyBorder="1" applyFont="1">
      <alignment horizontal="left" readingOrder="0" shrinkToFit="0" vertical="center" wrapText="0"/>
    </xf>
    <xf borderId="3" fillId="0" fontId="8" numFmtId="0" xfId="0" applyBorder="1" applyFont="1"/>
    <xf borderId="3" fillId="2" fontId="19" numFmtId="0" xfId="0" applyAlignment="1" applyBorder="1" applyFont="1">
      <alignment readingOrder="0" shrinkToFit="0" vertical="center" wrapText="1"/>
    </xf>
    <xf borderId="0" fillId="2" fontId="20" numFmtId="0" xfId="0" applyAlignment="1" applyFont="1">
      <alignment horizontal="left" readingOrder="0" shrinkToFit="0" vertical="center" wrapText="0"/>
    </xf>
    <xf borderId="3" fillId="0" fontId="21" numFmtId="0" xfId="0" applyAlignment="1" applyBorder="1" applyFont="1">
      <alignment horizontal="left" readingOrder="0" shrinkToFit="0" vertical="center" wrapText="0"/>
    </xf>
    <xf borderId="3" fillId="0" fontId="20" numFmtId="0" xfId="0" applyAlignment="1" applyBorder="1" applyFont="1">
      <alignment horizontal="left" readingOrder="0" vertical="center"/>
    </xf>
    <xf borderId="0" fillId="0" fontId="21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left" readingOrder="0" shrinkToFit="0" vertical="center" wrapText="0"/>
    </xf>
    <xf borderId="3" fillId="0" fontId="20" numFmtId="164" xfId="0" applyAlignment="1" applyBorder="1" applyFont="1" applyNumberFormat="1">
      <alignment horizontal="left" readingOrder="0" vertical="center"/>
    </xf>
    <xf borderId="0" fillId="0" fontId="22" numFmtId="0" xfId="0" applyAlignment="1" applyFont="1">
      <alignment vertical="center"/>
    </xf>
    <xf borderId="0" fillId="2" fontId="23" numFmtId="0" xfId="0" applyAlignment="1" applyFont="1">
      <alignment horizontal="left" shrinkToFit="0" vertical="center" wrapText="0"/>
    </xf>
    <xf borderId="0" fillId="2" fontId="23" numFmtId="0" xfId="0" applyAlignment="1" applyFont="1">
      <alignment shrinkToFit="0" vertical="center" wrapText="0"/>
    </xf>
    <xf borderId="0" fillId="2" fontId="23" numFmtId="0" xfId="0" applyAlignment="1" applyFont="1">
      <alignment horizontal="center" shrinkToFit="0" vertical="center" wrapText="0"/>
    </xf>
    <xf borderId="0" fillId="3" fontId="24" numFmtId="0" xfId="0" applyAlignment="1" applyFont="1">
      <alignment horizontal="center"/>
    </xf>
    <xf borderId="0" fillId="0" fontId="25" numFmtId="0" xfId="0" applyAlignment="1" applyFont="1">
      <alignment shrinkToFit="0" vertical="center" wrapText="0"/>
    </xf>
    <xf borderId="0" fillId="4" fontId="26" numFmtId="0" xfId="0" applyAlignment="1" applyFill="1" applyFont="1">
      <alignment horizontal="center" shrinkToFit="0" vertical="center" wrapText="1"/>
    </xf>
    <xf borderId="0" fillId="5" fontId="26" numFmtId="0" xfId="0" applyAlignment="1" applyFill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0"/>
    </xf>
    <xf borderId="0" fillId="3" fontId="24" numFmtId="0" xfId="0" applyFont="1"/>
    <xf borderId="0" fillId="0" fontId="27" numFmtId="0" xfId="0" applyAlignment="1" applyFont="1">
      <alignment vertical="center"/>
    </xf>
    <xf borderId="0" fillId="3" fontId="28" numFmtId="0" xfId="0" applyAlignment="1" applyFont="1">
      <alignment horizontal="center" shrinkToFit="0" vertical="center" wrapText="1"/>
    </xf>
    <xf borderId="0" fillId="3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vertical="bottom"/>
    </xf>
    <xf borderId="4" fillId="2" fontId="32" numFmtId="0" xfId="0" applyAlignment="1" applyBorder="1" applyFont="1">
      <alignment horizontal="left" readingOrder="0" shrinkToFit="0" vertical="bottom" wrapText="0"/>
    </xf>
    <xf borderId="4" fillId="0" fontId="8" numFmtId="0" xfId="0" applyBorder="1" applyFont="1"/>
    <xf borderId="4" fillId="2" fontId="33" numFmtId="0" xfId="0" applyAlignment="1" applyBorder="1" applyFont="1">
      <alignment vertical="bottom"/>
    </xf>
    <xf borderId="4" fillId="2" fontId="33" numFmtId="9" xfId="0" applyAlignment="1" applyBorder="1" applyFont="1" applyNumberFormat="1">
      <alignment horizontal="center" shrinkToFit="0" vertical="bottom" wrapText="1"/>
    </xf>
    <xf borderId="0" fillId="2" fontId="31" numFmtId="0" xfId="0" applyAlignment="1" applyFont="1">
      <alignment horizontal="center" shrinkToFit="0" vertical="bottom" wrapText="0"/>
    </xf>
    <xf borderId="0" fillId="0" fontId="34" numFmtId="0" xfId="0" applyAlignment="1" applyFont="1">
      <alignment vertical="center"/>
    </xf>
    <xf borderId="0" fillId="0" fontId="35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0" fontId="35" numFmtId="164" xfId="0" applyAlignment="1" applyFont="1" applyNumberFormat="1">
      <alignment horizontal="left" shrinkToFit="0" vertical="center" wrapText="1"/>
    </xf>
    <xf borderId="0" fillId="0" fontId="35" numFmtId="3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readingOrder="0" vertical="center"/>
    </xf>
    <xf borderId="0" fillId="0" fontId="37" numFmtId="9" xfId="0" applyAlignment="1" applyFont="1" applyNumberFormat="1">
      <alignment horizontal="center" readingOrder="0" shrinkToFit="0" vertical="center" wrapText="1"/>
    </xf>
    <xf borderId="0" fillId="0" fontId="38" numFmtId="0" xfId="0" applyAlignment="1" applyFont="1">
      <alignment horizontal="center" shrinkToFit="0" vertical="center" wrapText="0"/>
    </xf>
    <xf borderId="0" fillId="0" fontId="37" numFmtId="0" xfId="0" applyAlignment="1" applyFont="1">
      <alignment vertical="center"/>
    </xf>
    <xf borderId="0" fillId="0" fontId="39" numFmtId="0" xfId="0" applyAlignment="1" applyFont="1">
      <alignment readingOrder="0" shrinkToFit="0" vertical="center" wrapText="1"/>
    </xf>
    <xf borderId="0" fillId="3" fontId="35" numFmtId="0" xfId="0" applyAlignment="1" applyFont="1">
      <alignment readingOrder="0" shrinkToFit="0" vertical="center" wrapText="0"/>
    </xf>
    <xf borderId="0" fillId="0" fontId="40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center" vertical="center"/>
    </xf>
    <xf borderId="0" fillId="0" fontId="37" numFmtId="0" xfId="0" applyAlignment="1" applyFont="1">
      <alignment readingOrder="0" shrinkToFit="0" vertical="center" wrapText="1"/>
    </xf>
    <xf borderId="0" fillId="0" fontId="37" numFmtId="9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3" fontId="41" numFmtId="0" xfId="0" applyAlignment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3" fontId="41" numFmtId="0" xfId="0" applyAlignment="1" applyFont="1">
      <alignment horizontal="center" shrinkToFit="0" vertical="center" wrapText="0"/>
    </xf>
    <xf borderId="0" fillId="0" fontId="37" numFmtId="0" xfId="0" applyAlignment="1" applyFont="1">
      <alignment horizontal="center" readingOrder="0" shrinkToFit="0" vertical="center" wrapText="1"/>
    </xf>
    <xf borderId="0" fillId="0" fontId="34" numFmtId="9" xfId="0" applyAlignment="1" applyFont="1" applyNumberFormat="1">
      <alignment horizontal="left" shrinkToFit="0" vertical="center" wrapText="1"/>
    </xf>
    <xf borderId="0" fillId="0" fontId="34" numFmtId="9" xfId="0" applyAlignment="1" applyFont="1" applyNumberFormat="1">
      <alignment horizontal="center" shrinkToFit="0" vertical="center" wrapText="1"/>
    </xf>
    <xf borderId="0" fillId="0" fontId="34" numFmtId="165" xfId="0" applyAlignment="1" applyFont="1" applyNumberFormat="1">
      <alignment vertical="center"/>
    </xf>
    <xf borderId="0" fillId="0" fontId="38" numFmtId="9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left" shrinkToFit="0" vertical="center" wrapText="1"/>
    </xf>
    <xf borderId="0" fillId="0" fontId="34" numFmtId="0" xfId="0" applyAlignment="1" applyFont="1">
      <alignment horizontal="left" vertical="center"/>
    </xf>
    <xf borderId="0" fillId="0" fontId="34" numFmtId="164" xfId="0" applyAlignment="1" applyFont="1" applyNumberFormat="1">
      <alignment horizontal="center" shrinkToFit="0" vertical="center" wrapText="1"/>
    </xf>
    <xf borderId="0" fillId="0" fontId="34" numFmtId="3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0" fillId="0" fontId="34" numFmtId="9" xfId="0" applyAlignment="1" applyFont="1" applyNumberFormat="1">
      <alignment horizontal="left" vertical="center"/>
    </xf>
    <xf borderId="0" fillId="0" fontId="34" numFmtId="9" xfId="0" applyAlignment="1" applyFont="1" applyNumberFormat="1">
      <alignment horizontal="center" vertical="center"/>
    </xf>
    <xf borderId="0" fillId="0" fontId="34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4" numFmtId="9" xfId="0" applyAlignment="1" applyFont="1" applyNumberFormat="1">
      <alignment horizontal="center" readingOrder="0" shrinkToFit="0" vertical="center" wrapText="1"/>
    </xf>
    <xf borderId="0" fillId="0" fontId="38" numFmtId="9" xfId="0" applyAlignment="1" applyFont="1" applyNumberFormat="1">
      <alignment horizontal="left" shrinkToFit="0" vertical="center" wrapText="0"/>
    </xf>
    <xf borderId="0" fillId="0" fontId="38" numFmtId="165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horizontal="left" vertical="center"/>
    </xf>
    <xf borderId="0" fillId="0" fontId="34" numFmtId="0" xfId="0" applyAlignment="1" applyFont="1">
      <alignment horizontal="center" vertical="center"/>
    </xf>
    <xf borderId="0" fillId="3" fontId="42" numFmtId="0" xfId="0" applyAlignment="1" applyFont="1">
      <alignment vertical="center"/>
    </xf>
    <xf borderId="0" fillId="0" fontId="43" numFmtId="0" xfId="0" applyAlignment="1" applyFont="1">
      <alignment readingOrder="0"/>
    </xf>
    <xf borderId="0" fillId="0" fontId="44" numFmtId="0" xfId="0" applyAlignment="1" applyFont="1">
      <alignment horizontal="left" readingOrder="0"/>
    </xf>
    <xf borderId="0" fillId="0" fontId="45" numFmtId="0" xfId="0" applyFont="1"/>
    <xf borderId="0" fillId="0" fontId="46" numFmtId="0" xfId="0" applyAlignment="1" applyFont="1">
      <alignment horizontal="left" readingOrder="0" shrinkToFit="0" vertical="center" wrapText="1"/>
    </xf>
    <xf borderId="0" fillId="0" fontId="46" numFmtId="0" xfId="0" applyAlignment="1" applyFont="1">
      <alignment horizontal="left" readingOrder="0" shrinkToFit="0" wrapText="1"/>
    </xf>
    <xf borderId="0" fillId="0" fontId="44" numFmtId="0" xfId="0" applyAlignment="1" applyFont="1">
      <alignment readingOrder="0"/>
    </xf>
    <xf borderId="0" fillId="0" fontId="46" numFmtId="0" xfId="0" applyFont="1"/>
    <xf borderId="0" fillId="0" fontId="4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t6CS2ClMKrF8IWQWJPNFBnffz-gkI62b-4rVdGjwNKY/edit?usp=sharing" TargetMode="External"/><Relationship Id="rId2" Type="http://schemas.openxmlformats.org/officeDocument/2006/relationships/hyperlink" Target="https://canva.link/cmdibg6ozf8udat" TargetMode="External"/><Relationship Id="rId3" Type="http://schemas.openxmlformats.org/officeDocument/2006/relationships/hyperlink" Target="https://www.overleaf.com/6564517495wfhgsshrtfbw" TargetMode="External"/><Relationship Id="rId4" Type="http://schemas.openxmlformats.org/officeDocument/2006/relationships/hyperlink" Target="https://www.overleaf.com/6564517495wfhgsshrtfbw" TargetMode="External"/><Relationship Id="rId5" Type="http://schemas.openxmlformats.org/officeDocument/2006/relationships/hyperlink" Target="https://www.overleaf.com/6564517495wfhgsshrtfbw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3" width="16.38"/>
    <col customWidth="1" min="4" max="4" width="7.25"/>
    <col customWidth="1" min="5" max="5" width="13.25"/>
    <col customWidth="1" min="6" max="6" width="6.25"/>
    <col customWidth="1" min="7" max="7" width="35.38"/>
    <col customWidth="1" min="8" max="8" width="13.25"/>
    <col customWidth="1" min="9" max="9" width="26.38"/>
    <col customWidth="1" min="10" max="10" width="39.5"/>
    <col customWidth="1" min="11" max="11" width="13.25"/>
    <col customWidth="1" min="12" max="12" width="9.13"/>
    <col customWidth="1" min="13" max="13" width="2.88"/>
    <col customWidth="1" min="14" max="14" width="15.0"/>
    <col customWidth="1" min="15" max="15" width="2.88"/>
    <col customWidth="1" min="16" max="16" width="15.0"/>
    <col customWidth="1" min="17" max="17" width="2.88"/>
  </cols>
  <sheetData>
    <row r="1" ht="21.0" customHeight="1">
      <c r="A1" s="1"/>
      <c r="B1" s="2"/>
      <c r="C1" s="3"/>
      <c r="D1" s="4"/>
      <c r="E1" s="4"/>
      <c r="F1" s="5"/>
      <c r="G1" s="6"/>
      <c r="H1" s="3"/>
      <c r="I1" s="3"/>
      <c r="J1" s="7"/>
      <c r="K1" s="8"/>
      <c r="L1" s="1"/>
      <c r="M1" s="9"/>
      <c r="N1" s="9"/>
      <c r="O1" s="9"/>
      <c r="P1" s="9"/>
      <c r="Q1" s="9"/>
    </row>
    <row r="2" ht="21.0" customHeight="1">
      <c r="A2" s="1"/>
      <c r="B2" s="10" t="s">
        <v>0</v>
      </c>
      <c r="C2" s="11"/>
      <c r="D2" s="11"/>
      <c r="E2" s="11"/>
      <c r="F2" s="11"/>
      <c r="G2" s="11"/>
      <c r="H2" s="12"/>
      <c r="I2" s="13"/>
      <c r="J2" s="14"/>
      <c r="K2" s="11"/>
      <c r="M2" s="15"/>
      <c r="N2" s="16" t="s">
        <v>1</v>
      </c>
      <c r="O2" s="16"/>
      <c r="P2" s="16" t="s">
        <v>2</v>
      </c>
      <c r="Q2" s="15"/>
    </row>
    <row r="3" ht="21.0" customHeight="1">
      <c r="A3" s="1"/>
      <c r="B3" s="17"/>
      <c r="C3" s="17"/>
      <c r="D3" s="18"/>
      <c r="E3" s="18"/>
      <c r="F3" s="19"/>
      <c r="G3" s="20"/>
      <c r="H3" s="20"/>
      <c r="I3" s="21"/>
      <c r="J3" s="22"/>
      <c r="K3" s="22"/>
      <c r="L3" s="23"/>
      <c r="M3" s="24"/>
      <c r="N3" s="25" t="s">
        <v>3</v>
      </c>
      <c r="O3" s="26"/>
      <c r="P3" s="25" t="s">
        <v>4</v>
      </c>
      <c r="Q3" s="24"/>
    </row>
    <row r="4" ht="21.0" customHeight="1">
      <c r="A4" s="1"/>
      <c r="B4" s="27" t="s">
        <v>5</v>
      </c>
      <c r="C4" s="28"/>
      <c r="D4" s="29" t="s">
        <v>6</v>
      </c>
      <c r="E4" s="28"/>
      <c r="F4" s="28"/>
      <c r="G4" s="28"/>
      <c r="H4" s="30"/>
      <c r="I4" s="31"/>
      <c r="J4" s="32"/>
      <c r="K4" s="31"/>
      <c r="L4" s="33"/>
      <c r="M4" s="24"/>
      <c r="N4" s="25" t="s">
        <v>7</v>
      </c>
      <c r="O4" s="26"/>
      <c r="P4" s="25" t="s">
        <v>8</v>
      </c>
      <c r="Q4" s="24"/>
    </row>
    <row r="5" ht="21.0" customHeight="1">
      <c r="A5" s="1"/>
      <c r="B5" s="27" t="s">
        <v>9</v>
      </c>
      <c r="C5" s="27"/>
      <c r="D5" s="27" t="s">
        <v>10</v>
      </c>
      <c r="E5" s="28"/>
      <c r="F5" s="28"/>
      <c r="G5" s="28"/>
      <c r="H5" s="34"/>
      <c r="I5" s="31"/>
      <c r="J5" s="35"/>
      <c r="K5" s="31"/>
      <c r="L5" s="33"/>
      <c r="M5" s="24"/>
      <c r="N5" s="25" t="s">
        <v>11</v>
      </c>
      <c r="O5" s="26"/>
      <c r="P5" s="25" t="s">
        <v>12</v>
      </c>
      <c r="Q5" s="24"/>
    </row>
    <row r="6" ht="21.0" customHeight="1">
      <c r="A6" s="36"/>
      <c r="B6" s="27" t="s">
        <v>13</v>
      </c>
      <c r="C6" s="37"/>
      <c r="D6" s="38"/>
      <c r="E6" s="38"/>
      <c r="F6" s="39"/>
      <c r="G6" s="37"/>
      <c r="H6" s="37"/>
      <c r="I6" s="37"/>
      <c r="J6" s="38"/>
      <c r="K6" s="38"/>
      <c r="L6" s="36"/>
      <c r="M6" s="24"/>
      <c r="N6" s="25" t="s">
        <v>14</v>
      </c>
      <c r="O6" s="26"/>
      <c r="P6" s="25"/>
      <c r="Q6" s="24"/>
    </row>
    <row r="7" ht="21.0" customHeight="1">
      <c r="A7" s="36"/>
      <c r="B7" s="37"/>
      <c r="C7" s="37"/>
      <c r="D7" s="38"/>
      <c r="E7" s="38"/>
      <c r="F7" s="39"/>
      <c r="G7" s="37"/>
      <c r="H7" s="37"/>
      <c r="I7" s="37"/>
      <c r="J7" s="38"/>
      <c r="K7" s="38"/>
      <c r="L7" s="36"/>
      <c r="M7" s="40"/>
      <c r="N7" s="40"/>
      <c r="O7" s="40"/>
      <c r="P7" s="40"/>
      <c r="Q7" s="40"/>
    </row>
    <row r="8" ht="21.0" customHeight="1">
      <c r="A8" s="41"/>
      <c r="B8" s="42" t="s">
        <v>15</v>
      </c>
      <c r="J8" s="43" t="s">
        <v>16</v>
      </c>
      <c r="L8" s="44"/>
      <c r="M8" s="45"/>
      <c r="N8" s="45"/>
      <c r="O8" s="45"/>
      <c r="P8" s="45"/>
      <c r="Q8" s="45"/>
    </row>
    <row r="9" ht="21.0" customHeight="1">
      <c r="A9" s="46"/>
      <c r="B9" s="47" t="s">
        <v>17</v>
      </c>
      <c r="C9" s="47" t="s">
        <v>18</v>
      </c>
      <c r="D9" s="47" t="s">
        <v>19</v>
      </c>
      <c r="E9" s="47" t="s">
        <v>20</v>
      </c>
      <c r="F9" s="47" t="s">
        <v>21</v>
      </c>
      <c r="G9" s="47" t="s">
        <v>22</v>
      </c>
      <c r="H9" s="47" t="s">
        <v>23</v>
      </c>
      <c r="I9" s="47" t="s">
        <v>24</v>
      </c>
      <c r="J9" s="48" t="s">
        <v>25</v>
      </c>
      <c r="K9" s="48" t="s">
        <v>26</v>
      </c>
      <c r="L9" s="49"/>
      <c r="M9" s="45"/>
      <c r="N9" s="45"/>
      <c r="O9" s="45"/>
      <c r="P9" s="45"/>
      <c r="Q9" s="45"/>
    </row>
    <row r="10" ht="49.5" customHeight="1">
      <c r="A10" s="50"/>
      <c r="B10" s="51" t="s">
        <v>27</v>
      </c>
      <c r="C10" s="52"/>
      <c r="D10" s="52"/>
      <c r="E10" s="52"/>
      <c r="F10" s="52"/>
      <c r="G10" s="52"/>
      <c r="H10" s="52"/>
      <c r="I10" s="52"/>
      <c r="J10" s="53"/>
      <c r="K10" s="54">
        <f>AVERAGE(K11:K14)</f>
        <v>1</v>
      </c>
      <c r="L10" s="55"/>
      <c r="M10" s="45"/>
      <c r="N10" s="45"/>
      <c r="O10" s="45"/>
      <c r="P10" s="45"/>
      <c r="Q10" s="45"/>
    </row>
    <row r="11" ht="21.0" customHeight="1">
      <c r="A11" s="56"/>
      <c r="B11" s="57" t="s">
        <v>14</v>
      </c>
      <c r="C11" s="58" t="s">
        <v>12</v>
      </c>
      <c r="D11" s="59">
        <v>43352.0</v>
      </c>
      <c r="E11" s="59">
        <v>43353.0</v>
      </c>
      <c r="F11" s="60">
        <f t="shared" ref="F11:F14" si="1">DAYS360(D11,E11)</f>
        <v>1</v>
      </c>
      <c r="G11" s="61" t="s">
        <v>28</v>
      </c>
      <c r="H11" s="62" t="s">
        <v>29</v>
      </c>
      <c r="I11" s="63" t="s">
        <v>30</v>
      </c>
      <c r="J11" s="64"/>
      <c r="K11" s="65">
        <v>1.0</v>
      </c>
      <c r="L11" s="66"/>
      <c r="M11" s="45"/>
      <c r="N11" s="45"/>
      <c r="O11" s="45"/>
      <c r="P11" s="45"/>
      <c r="Q11" s="45"/>
    </row>
    <row r="12" ht="21.0" customHeight="1">
      <c r="A12" s="56"/>
      <c r="B12" s="57" t="s">
        <v>14</v>
      </c>
      <c r="C12" s="57" t="s">
        <v>12</v>
      </c>
      <c r="D12" s="59">
        <v>43353.0</v>
      </c>
      <c r="E12" s="59">
        <v>43357.0</v>
      </c>
      <c r="F12" s="60">
        <f t="shared" si="1"/>
        <v>4</v>
      </c>
      <c r="G12" s="61" t="s">
        <v>31</v>
      </c>
      <c r="H12" s="62" t="s">
        <v>32</v>
      </c>
      <c r="I12" s="57" t="s">
        <v>33</v>
      </c>
      <c r="J12" s="67"/>
      <c r="K12" s="65">
        <v>1.0</v>
      </c>
      <c r="L12" s="66"/>
      <c r="M12" s="45"/>
      <c r="N12" s="45"/>
      <c r="O12" s="45"/>
      <c r="P12" s="45"/>
      <c r="Q12" s="45"/>
    </row>
    <row r="13" ht="21.0" customHeight="1">
      <c r="A13" s="56"/>
      <c r="B13" s="57" t="s">
        <v>14</v>
      </c>
      <c r="C13" s="58" t="s">
        <v>8</v>
      </c>
      <c r="D13" s="59">
        <v>43354.0</v>
      </c>
      <c r="E13" s="59">
        <v>43363.0</v>
      </c>
      <c r="F13" s="60">
        <f t="shared" si="1"/>
        <v>9</v>
      </c>
      <c r="G13" s="61" t="s">
        <v>34</v>
      </c>
      <c r="H13" s="62" t="s">
        <v>35</v>
      </c>
      <c r="I13" s="57" t="s">
        <v>36</v>
      </c>
      <c r="J13" s="68" t="s">
        <v>37</v>
      </c>
      <c r="K13" s="65">
        <v>1.0</v>
      </c>
      <c r="L13" s="66"/>
      <c r="M13" s="69"/>
      <c r="N13" s="45"/>
      <c r="O13" s="69"/>
      <c r="P13" s="69"/>
      <c r="Q13" s="69"/>
    </row>
    <row r="14" ht="21.0" customHeight="1">
      <c r="A14" s="56"/>
      <c r="B14" s="57" t="s">
        <v>14</v>
      </c>
      <c r="C14" s="58" t="s">
        <v>8</v>
      </c>
      <c r="D14" s="59">
        <v>43355.0</v>
      </c>
      <c r="E14" s="59">
        <v>43363.0</v>
      </c>
      <c r="F14" s="60">
        <f t="shared" si="1"/>
        <v>8</v>
      </c>
      <c r="G14" s="61" t="s">
        <v>38</v>
      </c>
      <c r="H14" s="62" t="s">
        <v>35</v>
      </c>
      <c r="I14" s="70" t="s">
        <v>39</v>
      </c>
      <c r="J14" s="68" t="s">
        <v>40</v>
      </c>
      <c r="K14" s="65">
        <v>1.0</v>
      </c>
      <c r="L14" s="66"/>
      <c r="M14" s="69"/>
      <c r="N14" s="45"/>
      <c r="O14" s="69"/>
      <c r="P14" s="69"/>
      <c r="Q14" s="69"/>
    </row>
    <row r="15" ht="21.0" customHeight="1">
      <c r="A15" s="56"/>
      <c r="B15" s="57"/>
      <c r="C15" s="58"/>
      <c r="D15" s="59"/>
      <c r="E15" s="59"/>
      <c r="F15" s="60"/>
      <c r="G15" s="61"/>
      <c r="H15" s="71"/>
      <c r="I15" s="70"/>
      <c r="J15" s="72"/>
      <c r="K15" s="73"/>
      <c r="L15" s="66"/>
      <c r="M15" s="69"/>
      <c r="N15" s="45"/>
      <c r="O15" s="69"/>
      <c r="P15" s="69"/>
      <c r="Q15" s="69"/>
    </row>
    <row r="16" ht="30.75" customHeight="1">
      <c r="A16" s="50"/>
      <c r="B16" s="51" t="s">
        <v>41</v>
      </c>
      <c r="C16" s="52"/>
      <c r="D16" s="52"/>
      <c r="E16" s="52"/>
      <c r="F16" s="52"/>
      <c r="G16" s="52"/>
      <c r="H16" s="52"/>
      <c r="I16" s="52"/>
      <c r="J16" s="53"/>
      <c r="K16" s="54">
        <f>AVERAGE(K17:K22)</f>
        <v>0.5</v>
      </c>
      <c r="L16" s="55"/>
      <c r="M16" s="69"/>
      <c r="N16" s="45"/>
      <c r="O16" s="69"/>
      <c r="P16" s="69"/>
      <c r="Q16" s="69"/>
    </row>
    <row r="17" ht="21.0" customHeight="1">
      <c r="A17" s="56"/>
      <c r="B17" s="57" t="s">
        <v>14</v>
      </c>
      <c r="C17" s="58" t="s">
        <v>12</v>
      </c>
      <c r="D17" s="59">
        <v>43352.0</v>
      </c>
      <c r="E17" s="59">
        <v>43353.0</v>
      </c>
      <c r="F17" s="60">
        <f t="shared" ref="F17:F19" si="2">DAYS360(D17,E17)</f>
        <v>1</v>
      </c>
      <c r="G17" s="74" t="s">
        <v>42</v>
      </c>
      <c r="H17" s="62" t="s">
        <v>43</v>
      </c>
      <c r="I17" s="57" t="s">
        <v>44</v>
      </c>
      <c r="J17" s="67"/>
      <c r="K17" s="65">
        <v>1.0</v>
      </c>
      <c r="L17" s="66"/>
      <c r="M17" s="69"/>
      <c r="N17" s="45"/>
      <c r="O17" s="69"/>
      <c r="P17" s="69"/>
      <c r="Q17" s="69"/>
    </row>
    <row r="18" ht="21.0" customHeight="1">
      <c r="A18" s="56"/>
      <c r="B18" s="57" t="s">
        <v>11</v>
      </c>
      <c r="C18" s="57" t="s">
        <v>12</v>
      </c>
      <c r="D18" s="59">
        <v>43353.0</v>
      </c>
      <c r="E18" s="59">
        <v>43357.0</v>
      </c>
      <c r="F18" s="60">
        <f t="shared" si="2"/>
        <v>4</v>
      </c>
      <c r="G18" s="74" t="s">
        <v>42</v>
      </c>
      <c r="H18" s="62" t="s">
        <v>43</v>
      </c>
      <c r="I18" s="57" t="s">
        <v>45</v>
      </c>
      <c r="J18" s="67"/>
      <c r="K18" s="65">
        <v>0.8</v>
      </c>
      <c r="L18" s="66"/>
      <c r="M18" s="75"/>
      <c r="N18" s="75"/>
      <c r="O18" s="75"/>
      <c r="P18" s="75"/>
      <c r="Q18" s="75"/>
    </row>
    <row r="19" ht="21.0" customHeight="1">
      <c r="A19" s="56"/>
      <c r="B19" s="57" t="s">
        <v>14</v>
      </c>
      <c r="C19" s="58" t="s">
        <v>8</v>
      </c>
      <c r="D19" s="59">
        <v>43354.0</v>
      </c>
      <c r="E19" s="59">
        <v>43363.0</v>
      </c>
      <c r="F19" s="60">
        <f t="shared" si="2"/>
        <v>9</v>
      </c>
      <c r="G19" s="74" t="s">
        <v>42</v>
      </c>
      <c r="H19" s="62" t="s">
        <v>43</v>
      </c>
      <c r="I19" s="57" t="s">
        <v>46</v>
      </c>
      <c r="J19" s="67"/>
      <c r="K19" s="65">
        <v>1.0</v>
      </c>
      <c r="L19" s="66"/>
      <c r="M19" s="75"/>
      <c r="N19" s="75"/>
      <c r="O19" s="75"/>
      <c r="P19" s="75"/>
      <c r="Q19" s="75"/>
    </row>
    <row r="20" ht="21.0" customHeight="1">
      <c r="A20" s="56"/>
      <c r="B20" s="57" t="s">
        <v>11</v>
      </c>
      <c r="C20" s="57" t="s">
        <v>12</v>
      </c>
      <c r="D20" s="59"/>
      <c r="E20" s="59"/>
      <c r="F20" s="60"/>
      <c r="G20" s="74"/>
      <c r="H20" s="62" t="s">
        <v>43</v>
      </c>
      <c r="I20" s="57" t="s">
        <v>47</v>
      </c>
      <c r="J20" s="72"/>
      <c r="K20" s="65">
        <v>0.2</v>
      </c>
      <c r="L20" s="66"/>
      <c r="M20" s="75"/>
      <c r="N20" s="75"/>
      <c r="O20" s="75"/>
      <c r="P20" s="75"/>
      <c r="Q20" s="75"/>
    </row>
    <row r="21" ht="21.0" customHeight="1">
      <c r="A21" s="56"/>
      <c r="B21" s="57" t="s">
        <v>7</v>
      </c>
      <c r="C21" s="57" t="s">
        <v>4</v>
      </c>
      <c r="D21" s="59"/>
      <c r="E21" s="59"/>
      <c r="F21" s="60"/>
      <c r="G21" s="74"/>
      <c r="H21" s="62"/>
      <c r="I21" s="57" t="s">
        <v>48</v>
      </c>
      <c r="J21" s="72"/>
      <c r="K21" s="65">
        <v>0.0</v>
      </c>
      <c r="L21" s="66"/>
      <c r="M21" s="75"/>
      <c r="N21" s="75"/>
      <c r="O21" s="75"/>
      <c r="P21" s="75"/>
      <c r="Q21" s="75"/>
    </row>
    <row r="22" ht="21.0" customHeight="1">
      <c r="A22" s="56"/>
      <c r="B22" s="57" t="s">
        <v>7</v>
      </c>
      <c r="C22" s="58" t="s">
        <v>8</v>
      </c>
      <c r="D22" s="59">
        <v>43355.0</v>
      </c>
      <c r="E22" s="59">
        <v>43363.0</v>
      </c>
      <c r="F22" s="60">
        <f>DAYS360(D22,E22)</f>
        <v>8</v>
      </c>
      <c r="G22" s="74" t="s">
        <v>42</v>
      </c>
      <c r="H22" s="71"/>
      <c r="I22" s="70" t="s">
        <v>49</v>
      </c>
      <c r="J22" s="68" t="s">
        <v>50</v>
      </c>
      <c r="K22" s="65">
        <v>0.0</v>
      </c>
      <c r="L22" s="66"/>
      <c r="M22" s="75"/>
      <c r="N22" s="75"/>
      <c r="O22" s="75"/>
      <c r="P22" s="75"/>
      <c r="Q22" s="75"/>
    </row>
    <row r="23" ht="21.0" customHeight="1">
      <c r="A23" s="56"/>
      <c r="B23" s="51" t="s">
        <v>51</v>
      </c>
      <c r="C23" s="52"/>
      <c r="D23" s="52"/>
      <c r="E23" s="52"/>
      <c r="F23" s="52"/>
      <c r="G23" s="52"/>
      <c r="H23" s="52"/>
      <c r="I23" s="52"/>
      <c r="J23" s="53"/>
      <c r="K23" s="54">
        <f>AVERAGE(K24:K27)</f>
        <v>0</v>
      </c>
      <c r="L23" s="76"/>
      <c r="M23" s="77"/>
      <c r="N23" s="77"/>
      <c r="O23" s="77"/>
      <c r="P23" s="77"/>
      <c r="Q23" s="77"/>
    </row>
    <row r="24" ht="21.0" customHeight="1">
      <c r="A24" s="56"/>
      <c r="B24" s="58" t="s">
        <v>3</v>
      </c>
      <c r="C24" s="58" t="s">
        <v>12</v>
      </c>
      <c r="D24" s="59">
        <v>43352.0</v>
      </c>
      <c r="E24" s="59">
        <v>43353.0</v>
      </c>
      <c r="F24" s="60">
        <f t="shared" ref="F24:F27" si="3">DAYS360(D24,E24)</f>
        <v>1</v>
      </c>
      <c r="G24" s="74" t="s">
        <v>42</v>
      </c>
      <c r="H24" s="71"/>
      <c r="I24" s="57" t="s">
        <v>52</v>
      </c>
      <c r="J24" s="67"/>
      <c r="K24" s="78">
        <v>0.0</v>
      </c>
      <c r="L24" s="76"/>
      <c r="M24" s="77"/>
      <c r="N24" s="77"/>
      <c r="O24" s="77"/>
      <c r="P24" s="77"/>
      <c r="Q24" s="77"/>
    </row>
    <row r="25" ht="21.0" customHeight="1">
      <c r="A25" s="56"/>
      <c r="B25" s="58" t="s">
        <v>7</v>
      </c>
      <c r="C25" s="58" t="s">
        <v>4</v>
      </c>
      <c r="D25" s="59">
        <v>43353.0</v>
      </c>
      <c r="E25" s="59">
        <v>43357.0</v>
      </c>
      <c r="F25" s="60">
        <f t="shared" si="3"/>
        <v>4</v>
      </c>
      <c r="G25" s="74" t="s">
        <v>42</v>
      </c>
      <c r="H25" s="71"/>
      <c r="I25" s="57" t="s">
        <v>53</v>
      </c>
      <c r="J25" s="67"/>
      <c r="K25" s="65">
        <v>0.0</v>
      </c>
      <c r="L25" s="76"/>
      <c r="M25" s="77"/>
      <c r="N25" s="77"/>
      <c r="O25" s="77"/>
      <c r="P25" s="77"/>
      <c r="Q25" s="77"/>
    </row>
    <row r="26" ht="21.0" customHeight="1">
      <c r="A26" s="56"/>
      <c r="B26" s="58" t="s">
        <v>11</v>
      </c>
      <c r="C26" s="58" t="s">
        <v>8</v>
      </c>
      <c r="D26" s="59">
        <v>43354.0</v>
      </c>
      <c r="E26" s="59">
        <v>43363.0</v>
      </c>
      <c r="F26" s="60">
        <f t="shared" si="3"/>
        <v>9</v>
      </c>
      <c r="G26" s="74" t="s">
        <v>42</v>
      </c>
      <c r="H26" s="71"/>
      <c r="I26" s="57" t="s">
        <v>54</v>
      </c>
      <c r="J26" s="67"/>
      <c r="K26" s="65">
        <v>0.0</v>
      </c>
      <c r="L26" s="76"/>
      <c r="M26" s="77"/>
      <c r="N26" s="77"/>
      <c r="O26" s="77"/>
      <c r="P26" s="77"/>
      <c r="Q26" s="77"/>
    </row>
    <row r="27" ht="21.0" customHeight="1">
      <c r="A27" s="56"/>
      <c r="B27" s="58" t="s">
        <v>14</v>
      </c>
      <c r="C27" s="58" t="s">
        <v>8</v>
      </c>
      <c r="D27" s="59">
        <v>43355.0</v>
      </c>
      <c r="E27" s="59">
        <v>43363.0</v>
      </c>
      <c r="F27" s="60">
        <f t="shared" si="3"/>
        <v>8</v>
      </c>
      <c r="G27" s="74" t="s">
        <v>42</v>
      </c>
      <c r="H27" s="71"/>
      <c r="I27" s="70" t="s">
        <v>55</v>
      </c>
      <c r="J27" s="68" t="s">
        <v>56</v>
      </c>
      <c r="K27" s="65">
        <v>0.0</v>
      </c>
      <c r="L27" s="76"/>
      <c r="M27" s="77"/>
      <c r="N27" s="77"/>
      <c r="O27" s="77"/>
      <c r="P27" s="77"/>
      <c r="Q27" s="77"/>
    </row>
    <row r="28" ht="21.0" customHeight="1">
      <c r="A28" s="56"/>
      <c r="B28" s="51" t="s">
        <v>57</v>
      </c>
      <c r="C28" s="52"/>
      <c r="D28" s="52"/>
      <c r="E28" s="52"/>
      <c r="F28" s="52"/>
      <c r="G28" s="52"/>
      <c r="H28" s="52"/>
      <c r="I28" s="52"/>
      <c r="J28" s="53"/>
      <c r="K28" s="54">
        <f>AVERAGE(K29:K32)</f>
        <v>0</v>
      </c>
      <c r="L28" s="76"/>
      <c r="M28" s="77"/>
      <c r="N28" s="77"/>
      <c r="O28" s="77"/>
      <c r="P28" s="77"/>
      <c r="Q28" s="77"/>
    </row>
    <row r="29" ht="21.0" customHeight="1">
      <c r="A29" s="56"/>
      <c r="B29" s="58" t="s">
        <v>3</v>
      </c>
      <c r="C29" s="58" t="s">
        <v>12</v>
      </c>
      <c r="D29" s="59">
        <v>43352.0</v>
      </c>
      <c r="E29" s="59">
        <v>43353.0</v>
      </c>
      <c r="F29" s="60">
        <f t="shared" ref="F29:F32" si="4">DAYS360(D29,E29)</f>
        <v>1</v>
      </c>
      <c r="G29" s="61" t="s">
        <v>28</v>
      </c>
      <c r="H29" s="71"/>
      <c r="I29" s="57" t="s">
        <v>58</v>
      </c>
      <c r="J29" s="67"/>
      <c r="K29" s="78">
        <v>0.0</v>
      </c>
      <c r="L29" s="76"/>
      <c r="M29" s="77"/>
      <c r="N29" s="77"/>
      <c r="O29" s="77"/>
      <c r="P29" s="77"/>
      <c r="Q29" s="77"/>
    </row>
    <row r="30" ht="21.0" customHeight="1">
      <c r="A30" s="56"/>
      <c r="B30" s="58" t="s">
        <v>7</v>
      </c>
      <c r="C30" s="58" t="s">
        <v>4</v>
      </c>
      <c r="D30" s="59">
        <v>43353.0</v>
      </c>
      <c r="E30" s="59">
        <v>43357.0</v>
      </c>
      <c r="F30" s="60">
        <f t="shared" si="4"/>
        <v>4</v>
      </c>
      <c r="G30" s="61" t="s">
        <v>31</v>
      </c>
      <c r="H30" s="71"/>
      <c r="I30" s="57" t="s">
        <v>59</v>
      </c>
      <c r="J30" s="67"/>
      <c r="K30" s="65">
        <v>0.0</v>
      </c>
      <c r="L30" s="76"/>
      <c r="M30" s="77"/>
      <c r="N30" s="77"/>
      <c r="O30" s="77"/>
      <c r="P30" s="77"/>
      <c r="Q30" s="77"/>
    </row>
    <row r="31" ht="21.0" customHeight="1">
      <c r="A31" s="56"/>
      <c r="B31" s="58" t="s">
        <v>11</v>
      </c>
      <c r="C31" s="58" t="s">
        <v>8</v>
      </c>
      <c r="D31" s="59">
        <v>43354.0</v>
      </c>
      <c r="E31" s="59">
        <v>43363.0</v>
      </c>
      <c r="F31" s="60">
        <f t="shared" si="4"/>
        <v>9</v>
      </c>
      <c r="G31" s="61" t="s">
        <v>34</v>
      </c>
      <c r="H31" s="71"/>
      <c r="I31" s="57" t="s">
        <v>60</v>
      </c>
      <c r="J31" s="67"/>
      <c r="K31" s="65">
        <v>0.0</v>
      </c>
      <c r="L31" s="76"/>
      <c r="M31" s="77"/>
      <c r="N31" s="77"/>
      <c r="O31" s="77"/>
      <c r="P31" s="77"/>
      <c r="Q31" s="77"/>
    </row>
    <row r="32" ht="21.0" customHeight="1">
      <c r="A32" s="56"/>
      <c r="B32" s="58" t="s">
        <v>14</v>
      </c>
      <c r="C32" s="58" t="s">
        <v>8</v>
      </c>
      <c r="D32" s="59">
        <v>43355.0</v>
      </c>
      <c r="E32" s="59">
        <v>43363.0</v>
      </c>
      <c r="F32" s="60">
        <f t="shared" si="4"/>
        <v>8</v>
      </c>
      <c r="G32" s="61" t="s">
        <v>38</v>
      </c>
      <c r="H32" s="71"/>
      <c r="I32" s="57" t="s">
        <v>61</v>
      </c>
      <c r="J32" s="67"/>
      <c r="K32" s="65">
        <v>0.0</v>
      </c>
      <c r="L32" s="76"/>
      <c r="M32" s="77"/>
      <c r="N32" s="77"/>
      <c r="O32" s="77"/>
      <c r="P32" s="77"/>
      <c r="Q32" s="77"/>
    </row>
    <row r="33" ht="21.0" customHeight="1">
      <c r="A33" s="56"/>
      <c r="B33" s="79"/>
      <c r="C33" s="79"/>
      <c r="D33" s="80"/>
      <c r="E33" s="80"/>
      <c r="F33" s="80"/>
      <c r="G33" s="80"/>
      <c r="H33" s="80"/>
      <c r="I33" s="79"/>
      <c r="J33" s="81"/>
      <c r="K33" s="82"/>
      <c r="L33" s="76"/>
      <c r="M33" s="77"/>
      <c r="N33" s="77"/>
      <c r="O33" s="77"/>
      <c r="P33" s="77"/>
      <c r="Q33" s="77"/>
    </row>
    <row r="34" ht="21.0" customHeight="1">
      <c r="A34" s="56"/>
      <c r="B34" s="83"/>
      <c r="C34" s="84"/>
      <c r="D34" s="85"/>
      <c r="E34" s="85"/>
      <c r="F34" s="86"/>
      <c r="G34" s="87"/>
      <c r="H34" s="87"/>
      <c r="I34" s="88"/>
      <c r="J34" s="81"/>
      <c r="K34" s="80"/>
      <c r="L34" s="76"/>
      <c r="M34" s="77"/>
      <c r="N34" s="77"/>
      <c r="O34" s="77"/>
      <c r="P34" s="77"/>
      <c r="Q34" s="77"/>
    </row>
    <row r="35" ht="21.0" customHeight="1">
      <c r="A35" s="56"/>
      <c r="B35" s="83"/>
      <c r="C35" s="84"/>
      <c r="D35" s="85"/>
      <c r="E35" s="85"/>
      <c r="F35" s="86"/>
      <c r="G35" s="87"/>
      <c r="H35" s="89"/>
      <c r="I35" s="88"/>
      <c r="J35" s="81"/>
      <c r="K35" s="80"/>
      <c r="L35" s="76"/>
      <c r="M35" s="77"/>
      <c r="N35" s="77"/>
      <c r="O35" s="77"/>
      <c r="P35" s="77"/>
      <c r="Q35" s="77"/>
    </row>
    <row r="36" ht="21.0" customHeight="1">
      <c r="A36" s="56"/>
      <c r="B36" s="83"/>
      <c r="C36" s="84"/>
      <c r="D36" s="85"/>
      <c r="E36" s="85"/>
      <c r="F36" s="86"/>
      <c r="G36" s="87"/>
      <c r="H36" s="89"/>
      <c r="I36" s="88"/>
      <c r="J36" s="81"/>
      <c r="K36" s="80"/>
      <c r="L36" s="76"/>
      <c r="M36" s="77"/>
      <c r="N36" s="77"/>
      <c r="O36" s="77"/>
      <c r="P36" s="77"/>
      <c r="Q36" s="77"/>
    </row>
    <row r="37" ht="21.0" customHeight="1">
      <c r="A37" s="56"/>
      <c r="B37" s="83"/>
      <c r="C37" s="84"/>
      <c r="D37" s="85"/>
      <c r="E37" s="85"/>
      <c r="F37" s="86"/>
      <c r="G37" s="87"/>
      <c r="H37" s="89"/>
      <c r="I37" s="88"/>
      <c r="J37" s="81"/>
      <c r="K37" s="80"/>
      <c r="L37" s="76"/>
      <c r="M37" s="77"/>
      <c r="N37" s="77"/>
      <c r="O37" s="77"/>
      <c r="P37" s="77"/>
      <c r="Q37" s="77"/>
    </row>
    <row r="38" ht="21.0" customHeight="1">
      <c r="A38" s="56"/>
      <c r="B38" s="90"/>
      <c r="C38" s="90"/>
      <c r="D38" s="91"/>
      <c r="E38" s="92"/>
      <c r="F38" s="92"/>
      <c r="G38" s="91"/>
      <c r="H38" s="93"/>
      <c r="I38" s="94"/>
      <c r="J38" s="95"/>
      <c r="K38" s="76"/>
      <c r="L38" s="76"/>
      <c r="M38" s="77"/>
      <c r="N38" s="77"/>
      <c r="O38" s="77"/>
      <c r="P38" s="77"/>
      <c r="Q38" s="77"/>
    </row>
    <row r="39" ht="21.0" customHeight="1">
      <c r="A39" s="56"/>
      <c r="B39" s="96"/>
      <c r="C39" s="96"/>
      <c r="D39" s="97"/>
      <c r="E39" s="97"/>
      <c r="F39" s="97"/>
      <c r="G39" s="97"/>
      <c r="H39" s="97"/>
      <c r="I39" s="96"/>
      <c r="J39" s="56"/>
      <c r="K39" s="56"/>
      <c r="L39" s="56"/>
      <c r="M39" s="98"/>
      <c r="N39" s="98"/>
      <c r="O39" s="98"/>
      <c r="P39" s="98"/>
      <c r="Q39" s="98"/>
    </row>
    <row r="40" ht="21.0" customHeight="1">
      <c r="A40" s="56"/>
      <c r="B40" s="96"/>
      <c r="C40" s="96"/>
      <c r="D40" s="97"/>
      <c r="E40" s="97"/>
      <c r="F40" s="97"/>
      <c r="G40" s="97"/>
      <c r="H40" s="97"/>
      <c r="I40" s="96"/>
      <c r="J40" s="56"/>
      <c r="K40" s="56"/>
      <c r="L40" s="56"/>
      <c r="M40" s="98"/>
      <c r="N40" s="98"/>
      <c r="O40" s="98"/>
      <c r="P40" s="98"/>
      <c r="Q40" s="98"/>
    </row>
    <row r="41" ht="21.0" customHeight="1">
      <c r="A41" s="56"/>
      <c r="B41" s="96"/>
      <c r="C41" s="96"/>
      <c r="D41" s="97"/>
      <c r="E41" s="97"/>
      <c r="F41" s="97"/>
      <c r="G41" s="97"/>
      <c r="H41" s="97"/>
      <c r="I41" s="96"/>
      <c r="J41" s="56"/>
      <c r="K41" s="56"/>
      <c r="L41" s="56"/>
      <c r="M41" s="98"/>
      <c r="N41" s="98"/>
      <c r="O41" s="98"/>
      <c r="P41" s="98"/>
      <c r="Q41" s="98"/>
    </row>
  </sheetData>
  <mergeCells count="11">
    <mergeCell ref="B10:I10"/>
    <mergeCell ref="B16:I16"/>
    <mergeCell ref="B23:I23"/>
    <mergeCell ref="B28:I28"/>
    <mergeCell ref="B2:G2"/>
    <mergeCell ref="J2:K2"/>
    <mergeCell ref="B4:C4"/>
    <mergeCell ref="D4:G4"/>
    <mergeCell ref="D5:G5"/>
    <mergeCell ref="B8:I8"/>
    <mergeCell ref="J8:K8"/>
  </mergeCells>
  <conditionalFormatting sqref="H34:H38">
    <cfRule type="colorScale" priority="1">
      <colorScale>
        <cfvo type="min"/>
        <cfvo type="max"/>
        <color rgb="FFFFFFFF"/>
        <color rgb="FF57BB8A"/>
      </colorScale>
    </cfRule>
  </conditionalFormatting>
  <conditionalFormatting sqref="H34:H38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qref="C11:C15 C17:C22 C24:C27 C29:C32">
      <formula1>'Project Tracking'!$P$3:$P$6</formula1>
    </dataValidation>
    <dataValidation type="list" allowBlank="1" sqref="B11:B15 B17:B22 B24:B27 B29:B32">
      <formula1>'Project Tracking'!$N$3:$N$6</formula1>
    </dataValidation>
  </dataValidations>
  <hyperlinks>
    <hyperlink r:id="rId1" ref="I11"/>
    <hyperlink r:id="rId2" ref="J13"/>
    <hyperlink r:id="rId3" location="6a6866" ref="J14"/>
    <hyperlink r:id="rId4" location="6a6866" ref="J22"/>
    <hyperlink r:id="rId5" location="6a6866" ref="J2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9.0"/>
  </cols>
  <sheetData>
    <row r="2">
      <c r="B2" s="99" t="s">
        <v>62</v>
      </c>
    </row>
    <row r="4">
      <c r="B4" s="100" t="s">
        <v>63</v>
      </c>
      <c r="C4" s="101"/>
    </row>
    <row r="5">
      <c r="B5" s="102" t="s">
        <v>64</v>
      </c>
    </row>
    <row r="6">
      <c r="B6" s="103" t="s">
        <v>65</v>
      </c>
    </row>
    <row r="7">
      <c r="B7" s="104" t="s">
        <v>66</v>
      </c>
    </row>
    <row r="8">
      <c r="B8" s="105"/>
    </row>
    <row r="9">
      <c r="B9" s="106" t="s">
        <v>67</v>
      </c>
    </row>
  </sheetData>
  <drawing r:id="rId1"/>
</worksheet>
</file>